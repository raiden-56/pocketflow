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Month</v>
      </c>
      <c r="B1" t="str">
        <v>Income</v>
      </c>
      <c r="C1" t="str">
        <v>Expenses</v>
      </c>
      <c r="D1" t="str">
        <v>Net</v>
      </c>
    </row>
    <row r="2">
      <c r="A2" t="str">
        <v>January</v>
      </c>
      <c r="B2">
        <f>SUMIF(January!D:D,"Income",January!F:F)</f>
        <v>0</v>
      </c>
      <c r="C2">
        <f>SUMIF(January!D:D,"Expense",January!F:F)</f>
        <v>0</v>
      </c>
      <c r="D2">
        <f>B2-C2</f>
        <v>0</v>
      </c>
    </row>
    <row r="3">
      <c r="A3" t="str">
        <v>February</v>
      </c>
      <c r="B3">
        <f>SUMIF(February!D:D,"Income",February!F:F)</f>
        <v>0</v>
      </c>
      <c r="C3">
        <f>SUMIF(February!D:D,"Expense",February!F:F)</f>
        <v>0</v>
      </c>
      <c r="D3">
        <f>B3-C3</f>
        <v>0</v>
      </c>
    </row>
    <row r="4">
      <c r="A4" t="str">
        <v>March</v>
      </c>
      <c r="B4">
        <f>SUMIF(March!D:D,"Income",March!F:F)</f>
        <v>0</v>
      </c>
      <c r="C4">
        <f>SUMIF(March!D:D,"Expense",March!F:F)</f>
        <v>0</v>
      </c>
      <c r="D4">
        <f>B4-C4</f>
        <v>0</v>
      </c>
    </row>
    <row r="5">
      <c r="A5" t="str">
        <v>April</v>
      </c>
      <c r="B5">
        <f>SUMIF(April!D:D,"Income",April!F:F)</f>
        <v>0</v>
      </c>
      <c r="C5">
        <f>SUMIF(April!D:D,"Expense",April!F:F)</f>
        <v>0</v>
      </c>
      <c r="D5">
        <f>B5-C5</f>
        <v>0</v>
      </c>
    </row>
    <row r="6">
      <c r="A6" t="str">
        <v>May</v>
      </c>
      <c r="B6">
        <f>SUMIF(May!D:D,"Income",May!F:F)</f>
        <v>0</v>
      </c>
      <c r="C6">
        <f>SUMIF(May!D:D,"Expense",May!F:F)</f>
        <v>0</v>
      </c>
      <c r="D6">
        <f>B6-C6</f>
        <v>0</v>
      </c>
    </row>
    <row r="7">
      <c r="A7" t="str">
        <v>June</v>
      </c>
      <c r="B7">
        <f>SUMIF(June!D:D,"Income",June!F:F)</f>
        <v>0</v>
      </c>
      <c r="C7">
        <f>SUMIF(June!D:D,"Expense",June!F:F)</f>
        <v>0</v>
      </c>
      <c r="D7">
        <f>B7-C7</f>
        <v>0</v>
      </c>
    </row>
    <row r="8">
      <c r="A8" t="str">
        <v>July</v>
      </c>
      <c r="B8">
        <f>SUMIF(July!D:D,"Income",July!F:F)</f>
        <v>0</v>
      </c>
      <c r="C8">
        <f>SUMIF(July!D:D,"Expense",July!F:F)</f>
        <v>0</v>
      </c>
      <c r="D8">
        <f>B8-C8</f>
        <v>0</v>
      </c>
    </row>
    <row r="9">
      <c r="A9" t="str">
        <v>August</v>
      </c>
      <c r="B9">
        <f>SUMIF(August!D:D,"Income",August!F:F)</f>
        <v>0</v>
      </c>
      <c r="C9">
        <f>SUMIF(August!D:D,"Expense",August!F:F)</f>
        <v>0</v>
      </c>
      <c r="D9">
        <f>B9-C9</f>
        <v>0</v>
      </c>
    </row>
    <row r="10">
      <c r="A10" t="str">
        <v>September</v>
      </c>
      <c r="B10">
        <f>SUMIF(September!D:D,"Income",September!F:F)</f>
        <v>0</v>
      </c>
      <c r="C10">
        <f>SUMIF(September!D:D,"Expense",September!F:F)</f>
        <v>0</v>
      </c>
      <c r="D10">
        <f>B10-C10</f>
        <v>0</v>
      </c>
    </row>
    <row r="11">
      <c r="A11" t="str">
        <v>October</v>
      </c>
      <c r="B11">
        <f>SUMIF(October!D:D,"Income",October!F:F)</f>
        <v>0</v>
      </c>
      <c r="C11">
        <f>SUMIF(October!D:D,"Expense",October!F:F)</f>
        <v>0</v>
      </c>
      <c r="D11">
        <f>B11-C11</f>
        <v>0</v>
      </c>
    </row>
    <row r="12">
      <c r="A12" t="str">
        <v>November</v>
      </c>
      <c r="B12">
        <f>SUMIF(November!D:D,"Income",November!F:F)</f>
        <v>0</v>
      </c>
      <c r="C12">
        <f>SUMIF(November!D:D,"Expense",November!F:F)</f>
        <v>0</v>
      </c>
      <c r="D12">
        <f>B12-C12</f>
        <v>0</v>
      </c>
    </row>
    <row r="13">
      <c r="A13" t="str">
        <v>December</v>
      </c>
      <c r="B13">
        <f>SUMIF(December!D:D,"Income",December!F:F)</f>
        <v>0</v>
      </c>
      <c r="C13">
        <f>SUMIF(December!D:D,"Expense",December!F:F)</f>
        <v>0</v>
      </c>
      <c r="D13">
        <f>B13-C13</f>
        <v>0</v>
      </c>
    </row>
    <row r="14">
      <c r="A14" t="str">
        <v>Total</v>
      </c>
      <c r="B14">
        <f>SUM(B2:B13)</f>
        <v>0</v>
      </c>
      <c r="C14">
        <f>SUM(C2:C13)</f>
        <v>0</v>
      </c>
      <c r="D14">
        <f>SUM(D2:D13)</f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46023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46024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46025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1680</v>
      </c>
      <c r="G4" t="str">
        <v/>
      </c>
    </row>
    <row r="5">
      <c r="A5" s="1">
        <v>46027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46029</v>
      </c>
      <c r="B6" t="str">
        <v>Bike loan EMI</v>
      </c>
      <c r="C6" t="str">
        <v>EMI</v>
      </c>
      <c r="D6" t="str">
        <v>Expense</v>
      </c>
      <c r="E6" t="str">
        <v>Bank Transfer</v>
      </c>
      <c r="F6" s="2">
        <v>4200</v>
      </c>
      <c r="G6" t="str">
        <v/>
      </c>
    </row>
    <row r="7">
      <c r="A7" s="1">
        <v>46030</v>
      </c>
      <c r="B7" t="str">
        <v>Weekly groceries</v>
      </c>
      <c r="C7" t="str">
        <v>Groceries</v>
      </c>
      <c r="D7" t="str">
        <v>Expense</v>
      </c>
      <c r="E7" t="str">
        <v>Card</v>
      </c>
      <c r="F7" s="2">
        <v>2687</v>
      </c>
      <c r="G7" t="str">
        <v>BigBasket</v>
      </c>
    </row>
    <row r="8">
      <c r="A8" s="1">
        <v>46032</v>
      </c>
      <c r="B8" t="str">
        <v>Freelance logo design</v>
      </c>
      <c r="C8" t="str">
        <v>Freelance</v>
      </c>
      <c r="D8" t="str">
        <v>Income</v>
      </c>
      <c r="E8" t="str">
        <v>Bank Transfer</v>
      </c>
      <c r="F8" s="2">
        <v>12000</v>
      </c>
      <c r="G8" t="str">
        <v>Client: Arjun</v>
      </c>
    </row>
    <row r="9">
      <c r="A9" s="1">
        <v>46034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953</v>
      </c>
      <c r="G9" t="str">
        <v/>
      </c>
    </row>
    <row r="10">
      <c r="A10" s="1">
        <v>46036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711</v>
      </c>
      <c r="G10" t="str">
        <v/>
      </c>
    </row>
    <row r="11">
      <c r="A11" s="1">
        <v>46038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2429</v>
      </c>
      <c r="G11" t="str">
        <v/>
      </c>
    </row>
    <row r="12">
      <c r="A12" s="1">
        <v>46040</v>
      </c>
      <c r="B12" t="str">
        <v>Movie night</v>
      </c>
      <c r="C12" t="str">
        <v>Entertainment</v>
      </c>
      <c r="D12" t="str">
        <v>Expense</v>
      </c>
      <c r="E12" t="str">
        <v>UPI</v>
      </c>
      <c r="F12" s="2">
        <v>480</v>
      </c>
      <c r="G12" t="str">
        <v/>
      </c>
    </row>
    <row r="13">
      <c r="A13" s="1">
        <v>46042</v>
      </c>
      <c r="B13" t="str">
        <v>Gym membership</v>
      </c>
      <c r="C13" t="str">
        <v>Health</v>
      </c>
      <c r="D13" t="str">
        <v>Expense</v>
      </c>
      <c r="E13" t="str">
        <v>Card</v>
      </c>
      <c r="F13" s="2">
        <v>1500</v>
      </c>
      <c r="G13" t="str">
        <v/>
      </c>
    </row>
    <row r="14">
      <c r="A14" s="1">
        <v>46044</v>
      </c>
      <c r="B14" t="str">
        <v>Dinner out</v>
      </c>
      <c r="C14" t="str">
        <v>Food</v>
      </c>
      <c r="D14" t="str">
        <v>Expense</v>
      </c>
      <c r="E14" t="str">
        <v>Card</v>
      </c>
      <c r="F14" s="2">
        <v>1179</v>
      </c>
      <c r="G14" t="str">
        <v/>
      </c>
    </row>
    <row r="15">
      <c r="A15" s="1">
        <v>46046</v>
      </c>
      <c r="B15" t="str">
        <v>Weekly groceries</v>
      </c>
      <c r="C15" t="str">
        <v>Groceries</v>
      </c>
      <c r="D15" t="str">
        <v>Expense</v>
      </c>
      <c r="E15" t="str">
        <v>Card</v>
      </c>
      <c r="F15" s="2">
        <v>2301</v>
      </c>
      <c r="G15" t="str">
        <v/>
      </c>
    </row>
    <row r="16">
      <c r="A16" s="1">
        <v>46047</v>
      </c>
      <c r="B16" t="str">
        <v>Winter jacket</v>
      </c>
      <c r="C16" t="str">
        <v>Shopping</v>
      </c>
      <c r="D16" t="str">
        <v>Expense</v>
      </c>
      <c r="E16" t="str">
        <v>Card</v>
      </c>
      <c r="F16" s="2">
        <v>3499</v>
      </c>
      <c r="G16" t="str">
        <v/>
      </c>
    </row>
    <row r="17">
      <c r="A17" s="1">
        <v>46048</v>
      </c>
      <c r="B17" t="str">
        <v>Petrol</v>
      </c>
      <c r="C17" t="str">
        <v>Transport</v>
      </c>
      <c r="D17" t="str">
        <v>Expense</v>
      </c>
      <c r="E17" t="str">
        <v>Card</v>
      </c>
      <c r="F17" s="2">
        <v>1800</v>
      </c>
      <c r="G17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46054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46055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46056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1910</v>
      </c>
      <c r="G4" t="str">
        <v/>
      </c>
    </row>
    <row r="5">
      <c r="A5" s="1">
        <v>46058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46060</v>
      </c>
      <c r="B6" t="str">
        <v>Bike loan EMI</v>
      </c>
      <c r="C6" t="str">
        <v>EMI</v>
      </c>
      <c r="D6" t="str">
        <v>Expense</v>
      </c>
      <c r="E6" t="str">
        <v>Bank Transfer</v>
      </c>
      <c r="F6" s="2">
        <v>4200</v>
      </c>
      <c r="G6" t="str">
        <v/>
      </c>
    </row>
    <row r="7">
      <c r="A7" s="1">
        <v>46061</v>
      </c>
      <c r="B7" t="str">
        <v>Weekly groceries</v>
      </c>
      <c r="C7" t="str">
        <v>Groceries</v>
      </c>
      <c r="D7" t="str">
        <v>Expense</v>
      </c>
      <c r="E7" t="str">
        <v>Card</v>
      </c>
      <c r="F7" s="2">
        <v>2724</v>
      </c>
      <c r="G7" t="str">
        <v>BigBasket</v>
      </c>
    </row>
    <row r="8">
      <c r="A8" s="1">
        <v>46065</v>
      </c>
      <c r="B8" t="str">
        <v>Metro &amp; auto</v>
      </c>
      <c r="C8" t="str">
        <v>Transport</v>
      </c>
      <c r="D8" t="str">
        <v>Expense</v>
      </c>
      <c r="E8" t="str">
        <v>UPI</v>
      </c>
      <c r="F8" s="2">
        <v>1006</v>
      </c>
      <c r="G8" t="str">
        <v/>
      </c>
    </row>
    <row r="9">
      <c r="A9" s="1">
        <v>46066</v>
      </c>
      <c r="B9" t="str">
        <v>Valentine dinner</v>
      </c>
      <c r="C9" t="str">
        <v>Food</v>
      </c>
      <c r="D9" t="str">
        <v>Expense</v>
      </c>
      <c r="E9" t="str">
        <v>Card</v>
      </c>
      <c r="F9" s="2">
        <v>2400</v>
      </c>
      <c r="G9" t="str">
        <v/>
      </c>
    </row>
    <row r="10">
      <c r="A10" s="1">
        <v>46067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782</v>
      </c>
      <c r="G10" t="str">
        <v/>
      </c>
    </row>
    <row r="11">
      <c r="A11" s="1">
        <v>46069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2448</v>
      </c>
      <c r="G11" t="str">
        <v/>
      </c>
    </row>
    <row r="12">
      <c r="A12" s="1">
        <v>46071</v>
      </c>
      <c r="B12" t="str">
        <v>Movie night</v>
      </c>
      <c r="C12" t="str">
        <v>Entertainment</v>
      </c>
      <c r="D12" t="str">
        <v>Expense</v>
      </c>
      <c r="E12" t="str">
        <v>UPI</v>
      </c>
      <c r="F12" s="2">
        <v>480</v>
      </c>
      <c r="G12" t="str">
        <v/>
      </c>
    </row>
    <row r="13">
      <c r="A13" s="1">
        <v>46073</v>
      </c>
      <c r="B13" t="str">
        <v>Gym membership</v>
      </c>
      <c r="C13" t="str">
        <v>Health</v>
      </c>
      <c r="D13" t="str">
        <v>Expense</v>
      </c>
      <c r="E13" t="str">
        <v>Card</v>
      </c>
      <c r="F13" s="2">
        <v>1500</v>
      </c>
      <c r="G13" t="str">
        <v/>
      </c>
    </row>
    <row r="14">
      <c r="A14" s="1">
        <v>46075</v>
      </c>
      <c r="B14" t="str">
        <v>Dinner out</v>
      </c>
      <c r="C14" t="str">
        <v>Food</v>
      </c>
      <c r="D14" t="str">
        <v>Expense</v>
      </c>
      <c r="E14" t="str">
        <v>Card</v>
      </c>
      <c r="F14" s="2">
        <v>1208</v>
      </c>
      <c r="G14" t="str">
        <v/>
      </c>
    </row>
    <row r="15">
      <c r="A15" s="1">
        <v>46077</v>
      </c>
      <c r="B15" t="str">
        <v>Weekly groceries</v>
      </c>
      <c r="C15" t="str">
        <v>Groceries</v>
      </c>
      <c r="D15" t="str">
        <v>Expense</v>
      </c>
      <c r="E15" t="str">
        <v>Card</v>
      </c>
      <c r="F15" s="2">
        <v>2312</v>
      </c>
      <c r="G15" t="str">
        <v/>
      </c>
    </row>
    <row r="16">
      <c r="A16" s="1">
        <v>46079</v>
      </c>
      <c r="B16" t="str">
        <v>Petrol</v>
      </c>
      <c r="C16" t="str">
        <v>Transport</v>
      </c>
      <c r="D16" t="str">
        <v>Expense</v>
      </c>
      <c r="E16" t="str">
        <v>Card</v>
      </c>
      <c r="F16" s="2">
        <v>1800</v>
      </c>
      <c r="G16" t="str">
        <v/>
      </c>
    </row>
    <row r="17">
      <c r="A17" s="1">
        <v>46080</v>
      </c>
      <c r="B17" t="str">
        <v>Mutual fund dividend</v>
      </c>
      <c r="C17" t="str">
        <v>Investment Income</v>
      </c>
      <c r="D17" t="str">
        <v>Income</v>
      </c>
      <c r="E17" t="str">
        <v>Bank Transfer</v>
      </c>
      <c r="F17" s="2">
        <v>1850</v>
      </c>
      <c r="G17" t="str">
        <v/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46082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46083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46084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1450</v>
      </c>
      <c r="G4" t="str">
        <v/>
      </c>
    </row>
    <row r="5">
      <c r="A5" s="1">
        <v>46086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46088</v>
      </c>
      <c r="B6" t="str">
        <v>Bike loan EMI</v>
      </c>
      <c r="C6" t="str">
        <v>EMI</v>
      </c>
      <c r="D6" t="str">
        <v>Expense</v>
      </c>
      <c r="E6" t="str">
        <v>Bank Transfer</v>
      </c>
      <c r="F6" s="2">
        <v>4200</v>
      </c>
      <c r="G6" t="str">
        <v/>
      </c>
    </row>
    <row r="7">
      <c r="A7" s="1">
        <v>46089</v>
      </c>
      <c r="B7" t="str">
        <v>Weekly groceries</v>
      </c>
      <c r="C7" t="str">
        <v>Groceries</v>
      </c>
      <c r="D7" t="str">
        <v>Expense</v>
      </c>
      <c r="E7" t="str">
        <v>Card</v>
      </c>
      <c r="F7" s="2">
        <v>2761</v>
      </c>
      <c r="G7" t="str">
        <v>BigBasket</v>
      </c>
    </row>
    <row r="8">
      <c r="A8" s="1">
        <v>46090</v>
      </c>
      <c r="B8" t="str">
        <v>Weekend trip to Coorg</v>
      </c>
      <c r="C8" t="str">
        <v>Travel</v>
      </c>
      <c r="D8" t="str">
        <v>Expense</v>
      </c>
      <c r="E8" t="str">
        <v>Card</v>
      </c>
      <c r="F8" s="2">
        <v>9800</v>
      </c>
      <c r="G8" t="str">
        <v>2 nights</v>
      </c>
    </row>
    <row r="9">
      <c r="A9" s="1">
        <v>46093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1059</v>
      </c>
      <c r="G9" t="str">
        <v/>
      </c>
    </row>
    <row r="10">
      <c r="A10" s="1">
        <v>46095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853</v>
      </c>
      <c r="G10" t="str">
        <v/>
      </c>
    </row>
    <row r="11">
      <c r="A11" s="1">
        <v>46097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2467</v>
      </c>
      <c r="G11" t="str">
        <v/>
      </c>
    </row>
    <row r="12">
      <c r="A12" s="1">
        <v>46099</v>
      </c>
      <c r="B12" t="str">
        <v>Movie night</v>
      </c>
      <c r="C12" t="str">
        <v>Entertainment</v>
      </c>
      <c r="D12" t="str">
        <v>Expense</v>
      </c>
      <c r="E12" t="str">
        <v>UPI</v>
      </c>
      <c r="F12" s="2">
        <v>480</v>
      </c>
      <c r="G12" t="str">
        <v/>
      </c>
    </row>
    <row r="13">
      <c r="A13" s="1">
        <v>46101</v>
      </c>
      <c r="B13" t="str">
        <v>Gym membership</v>
      </c>
      <c r="C13" t="str">
        <v>Health</v>
      </c>
      <c r="D13" t="str">
        <v>Expense</v>
      </c>
      <c r="E13" t="str">
        <v>Card</v>
      </c>
      <c r="F13" s="2">
        <v>1500</v>
      </c>
      <c r="G13" t="str">
        <v/>
      </c>
    </row>
    <row r="14">
      <c r="A14" s="1">
        <v>46102</v>
      </c>
      <c r="B14" t="str">
        <v>Doctor visit</v>
      </c>
      <c r="C14" t="str">
        <v>Health</v>
      </c>
      <c r="D14" t="str">
        <v>Expense</v>
      </c>
      <c r="E14" t="str">
        <v>Cash</v>
      </c>
      <c r="F14" s="2">
        <v>800</v>
      </c>
      <c r="G14" t="str">
        <v/>
      </c>
    </row>
    <row r="15">
      <c r="A15" s="1">
        <v>46103</v>
      </c>
      <c r="B15" t="str">
        <v>Dinner out</v>
      </c>
      <c r="C15" t="str">
        <v>Food</v>
      </c>
      <c r="D15" t="str">
        <v>Expense</v>
      </c>
      <c r="E15" t="str">
        <v>Card</v>
      </c>
      <c r="F15" s="2">
        <v>1237</v>
      </c>
      <c r="G15" t="str">
        <v/>
      </c>
    </row>
    <row r="16">
      <c r="A16" s="1">
        <v>46105</v>
      </c>
      <c r="B16" t="str">
        <v>Weekly groceries</v>
      </c>
      <c r="C16" t="str">
        <v>Groceries</v>
      </c>
      <c r="D16" t="str">
        <v>Expense</v>
      </c>
      <c r="E16" t="str">
        <v>Card</v>
      </c>
      <c r="F16" s="2">
        <v>2323</v>
      </c>
      <c r="G16" t="str">
        <v/>
      </c>
    </row>
    <row r="17">
      <c r="A17" s="1">
        <v>46107</v>
      </c>
      <c r="B17" t="str">
        <v>Petrol</v>
      </c>
      <c r="C17" t="str">
        <v>Transport</v>
      </c>
      <c r="D17" t="str">
        <v>Expense</v>
      </c>
      <c r="E17" t="str">
        <v>Card</v>
      </c>
      <c r="F17" s="2">
        <v>1800</v>
      </c>
      <c r="G17" t="str">
        <v/>
      </c>
    </row>
  </sheetData>
  <ignoredErrors>
    <ignoredError numberStoredAsText="1" sqref="A1:G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46113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46114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46115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1680</v>
      </c>
      <c r="G4" t="str">
        <v/>
      </c>
    </row>
    <row r="5">
      <c r="A5" s="1">
        <v>46116</v>
      </c>
      <c r="B5" t="str">
        <v>Freelance website</v>
      </c>
      <c r="C5" t="str">
        <v>Freelance</v>
      </c>
      <c r="D5" t="str">
        <v>Income</v>
      </c>
      <c r="E5" t="str">
        <v>Bank Transfer</v>
      </c>
      <c r="F5" s="2">
        <v>22000</v>
      </c>
      <c r="G5" t="str">
        <v/>
      </c>
    </row>
    <row r="6">
      <c r="A6" s="1">
        <v>46117</v>
      </c>
      <c r="B6" t="str">
        <v>Mobile + broadband</v>
      </c>
      <c r="C6" t="str">
        <v>Bills</v>
      </c>
      <c r="D6" t="str">
        <v>Expense</v>
      </c>
      <c r="E6" t="str">
        <v>UPI</v>
      </c>
      <c r="F6" s="2">
        <v>1199</v>
      </c>
      <c r="G6" t="str">
        <v/>
      </c>
    </row>
    <row r="7">
      <c r="A7" s="1">
        <v>46119</v>
      </c>
      <c r="B7" t="str">
        <v>Bike loan EMI</v>
      </c>
      <c r="C7" t="str">
        <v>EMI</v>
      </c>
      <c r="D7" t="str">
        <v>Expense</v>
      </c>
      <c r="E7" t="str">
        <v>Bank Transfer</v>
      </c>
      <c r="F7" s="2">
        <v>4200</v>
      </c>
      <c r="G7" t="str">
        <v/>
      </c>
    </row>
    <row r="8">
      <c r="A8" s="1">
        <v>46120</v>
      </c>
      <c r="B8" t="str">
        <v>Weekly groceries</v>
      </c>
      <c r="C8" t="str">
        <v>Groceries</v>
      </c>
      <c r="D8" t="str">
        <v>Expense</v>
      </c>
      <c r="E8" t="str">
        <v>Card</v>
      </c>
      <c r="F8" s="2">
        <v>2798</v>
      </c>
      <c r="G8" t="str">
        <v>BigBasket</v>
      </c>
    </row>
    <row r="9">
      <c r="A9" s="1">
        <v>46124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1112</v>
      </c>
      <c r="G9" t="str">
        <v/>
      </c>
    </row>
    <row r="10">
      <c r="A10" s="1">
        <v>46126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924</v>
      </c>
      <c r="G10" t="str">
        <v/>
      </c>
    </row>
    <row r="11">
      <c r="A11" s="1">
        <v>46127</v>
      </c>
      <c r="B11" t="str">
        <v>New headphones</v>
      </c>
      <c r="C11" t="str">
        <v>Shopping</v>
      </c>
      <c r="D11" t="str">
        <v>Expense</v>
      </c>
      <c r="E11" t="str">
        <v>Card</v>
      </c>
      <c r="F11" s="2">
        <v>5999</v>
      </c>
      <c r="G11" t="str">
        <v/>
      </c>
    </row>
    <row r="12">
      <c r="A12" s="1">
        <v>46128</v>
      </c>
      <c r="B12" t="str">
        <v>Weekly groceries</v>
      </c>
      <c r="C12" t="str">
        <v>Groceries</v>
      </c>
      <c r="D12" t="str">
        <v>Expense</v>
      </c>
      <c r="E12" t="str">
        <v>Card</v>
      </c>
      <c r="F12" s="2">
        <v>2486</v>
      </c>
      <c r="G12" t="str">
        <v/>
      </c>
    </row>
    <row r="13">
      <c r="A13" s="1">
        <v>46130</v>
      </c>
      <c r="B13" t="str">
        <v>Movie night</v>
      </c>
      <c r="C13" t="str">
        <v>Entertainment</v>
      </c>
      <c r="D13" t="str">
        <v>Expense</v>
      </c>
      <c r="E13" t="str">
        <v>UPI</v>
      </c>
      <c r="F13" s="2">
        <v>480</v>
      </c>
      <c r="G13" t="str">
        <v/>
      </c>
    </row>
    <row r="14">
      <c r="A14" s="1">
        <v>46132</v>
      </c>
      <c r="B14" t="str">
        <v>Gym membership</v>
      </c>
      <c r="C14" t="str">
        <v>Health</v>
      </c>
      <c r="D14" t="str">
        <v>Expense</v>
      </c>
      <c r="E14" t="str">
        <v>Card</v>
      </c>
      <c r="F14" s="2">
        <v>1500</v>
      </c>
      <c r="G14" t="str">
        <v/>
      </c>
    </row>
    <row r="15">
      <c r="A15" s="1">
        <v>46134</v>
      </c>
      <c r="B15" t="str">
        <v>Dinner out</v>
      </c>
      <c r="C15" t="str">
        <v>Food</v>
      </c>
      <c r="D15" t="str">
        <v>Expense</v>
      </c>
      <c r="E15" t="str">
        <v>Card</v>
      </c>
      <c r="F15" s="2">
        <v>1266</v>
      </c>
      <c r="G15" t="str">
        <v/>
      </c>
    </row>
    <row r="16">
      <c r="A16" s="1">
        <v>46136</v>
      </c>
      <c r="B16" t="str">
        <v>Weekly groceries</v>
      </c>
      <c r="C16" t="str">
        <v>Groceries</v>
      </c>
      <c r="D16" t="str">
        <v>Expense</v>
      </c>
      <c r="E16" t="str">
        <v>Card</v>
      </c>
      <c r="F16" s="2">
        <v>2334</v>
      </c>
      <c r="G16" t="str">
        <v/>
      </c>
    </row>
    <row r="17">
      <c r="A17" s="1">
        <v>46138</v>
      </c>
      <c r="B17" t="str">
        <v>Petrol</v>
      </c>
      <c r="C17" t="str">
        <v>Transport</v>
      </c>
      <c r="D17" t="str">
        <v>Expense</v>
      </c>
      <c r="E17" t="str">
        <v>Card</v>
      </c>
      <c r="F17" s="2">
        <v>1800</v>
      </c>
      <c r="G17" t="str">
        <v/>
      </c>
    </row>
  </sheetData>
  <ignoredErrors>
    <ignoredError numberStoredAsText="1" sqref="A1:G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46143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46144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46145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1910</v>
      </c>
      <c r="G4" t="str">
        <v/>
      </c>
    </row>
    <row r="5">
      <c r="A5" s="1">
        <v>46147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46149</v>
      </c>
      <c r="B6" t="str">
        <v>Bike loan EMI</v>
      </c>
      <c r="C6" t="str">
        <v>EMI</v>
      </c>
      <c r="D6" t="str">
        <v>Expense</v>
      </c>
      <c r="E6" t="str">
        <v>Bank Transfer</v>
      </c>
      <c r="F6" s="2">
        <v>4200</v>
      </c>
      <c r="G6" t="str">
        <v/>
      </c>
    </row>
    <row r="7">
      <c r="A7" s="1">
        <v>46150</v>
      </c>
      <c r="B7" t="str">
        <v>Weekly groceries</v>
      </c>
      <c r="C7" t="str">
        <v>Groceries</v>
      </c>
      <c r="D7" t="str">
        <v>Expense</v>
      </c>
      <c r="E7" t="str">
        <v>Card</v>
      </c>
      <c r="F7" s="2">
        <v>2835</v>
      </c>
      <c r="G7" t="str">
        <v>BigBasket</v>
      </c>
    </row>
    <row r="8">
      <c r="A8" s="1">
        <v>46153</v>
      </c>
      <c r="B8" t="str">
        <v>Online course</v>
      </c>
      <c r="C8" t="str">
        <v>Education</v>
      </c>
      <c r="D8" t="str">
        <v>Expense</v>
      </c>
      <c r="E8" t="str">
        <v>Card</v>
      </c>
      <c r="F8" s="2">
        <v>3200</v>
      </c>
      <c r="G8" t="str">
        <v>React Advanced</v>
      </c>
    </row>
    <row r="9">
      <c r="A9" s="1">
        <v>46154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1165</v>
      </c>
      <c r="G9" t="str">
        <v/>
      </c>
    </row>
    <row r="10">
      <c r="A10" s="1">
        <v>46156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695</v>
      </c>
      <c r="G10" t="str">
        <v/>
      </c>
    </row>
    <row r="11">
      <c r="A11" s="1">
        <v>46158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2505</v>
      </c>
      <c r="G11" t="str">
        <v/>
      </c>
    </row>
    <row r="12">
      <c r="A12" s="1">
        <v>46160</v>
      </c>
      <c r="B12" t="str">
        <v>Movie night</v>
      </c>
      <c r="C12" t="str">
        <v>Entertainment</v>
      </c>
      <c r="D12" t="str">
        <v>Expense</v>
      </c>
      <c r="E12" t="str">
        <v>UPI</v>
      </c>
      <c r="F12" s="2">
        <v>480</v>
      </c>
      <c r="G12" t="str">
        <v/>
      </c>
    </row>
    <row r="13">
      <c r="A13" s="1">
        <v>46162</v>
      </c>
      <c r="B13" t="str">
        <v>Gym membership</v>
      </c>
      <c r="C13" t="str">
        <v>Health</v>
      </c>
      <c r="D13" t="str">
        <v>Expense</v>
      </c>
      <c r="E13" t="str">
        <v>Card</v>
      </c>
      <c r="F13" s="2">
        <v>1500</v>
      </c>
      <c r="G13" t="str">
        <v/>
      </c>
    </row>
    <row r="14">
      <c r="A14" s="1">
        <v>46164</v>
      </c>
      <c r="B14" t="str">
        <v>Dinner out</v>
      </c>
      <c r="C14" t="str">
        <v>Food</v>
      </c>
      <c r="D14" t="str">
        <v>Expense</v>
      </c>
      <c r="E14" t="str">
        <v>Card</v>
      </c>
      <c r="F14" s="2">
        <v>1295</v>
      </c>
      <c r="G14" t="str">
        <v/>
      </c>
    </row>
    <row r="15">
      <c r="A15" s="1">
        <v>46166</v>
      </c>
      <c r="B15" t="str">
        <v>Weekly groceries</v>
      </c>
      <c r="C15" t="str">
        <v>Groceries</v>
      </c>
      <c r="D15" t="str">
        <v>Expense</v>
      </c>
      <c r="E15" t="str">
        <v>Card</v>
      </c>
      <c r="F15" s="2">
        <v>2345</v>
      </c>
      <c r="G15" t="str">
        <v/>
      </c>
    </row>
    <row r="16">
      <c r="A16" s="1">
        <v>46168</v>
      </c>
      <c r="B16" t="str">
        <v>Petrol</v>
      </c>
      <c r="C16" t="str">
        <v>Transport</v>
      </c>
      <c r="D16" t="str">
        <v>Expense</v>
      </c>
      <c r="E16" t="str">
        <v>Card</v>
      </c>
      <c r="F16" s="2">
        <v>1800</v>
      </c>
      <c r="G16" t="str">
        <v/>
      </c>
    </row>
    <row r="17">
      <c r="A17" s="1">
        <v>46170</v>
      </c>
      <c r="B17" t="str">
        <v>Birthday gift</v>
      </c>
      <c r="C17" t="str">
        <v>Shopping</v>
      </c>
      <c r="D17" t="str">
        <v>Expense</v>
      </c>
      <c r="E17" t="str">
        <v>UPI</v>
      </c>
      <c r="F17" s="2">
        <v>1500</v>
      </c>
      <c r="G17" t="str">
        <v/>
      </c>
    </row>
  </sheetData>
  <ignoredErrors>
    <ignoredError numberStoredAsText="1" sqref="A1:G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46174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46175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46176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1450</v>
      </c>
      <c r="G4" t="str">
        <v/>
      </c>
    </row>
    <row r="5">
      <c r="A5" s="1">
        <v>46178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46179</v>
      </c>
      <c r="B6" t="str">
        <v>AC repair</v>
      </c>
      <c r="C6" t="str">
        <v>Other Expenses</v>
      </c>
      <c r="D6" t="str">
        <v>Expense</v>
      </c>
      <c r="E6" t="str">
        <v>Cash</v>
      </c>
      <c r="F6" s="2">
        <v>2500</v>
      </c>
      <c r="G6" t="str">
        <v/>
      </c>
    </row>
    <row r="7">
      <c r="A7" s="1">
        <v>46180</v>
      </c>
      <c r="B7" t="str">
        <v>Bike loan EMI</v>
      </c>
      <c r="C7" t="str">
        <v>EMI</v>
      </c>
      <c r="D7" t="str">
        <v>Expense</v>
      </c>
      <c r="E7" t="str">
        <v>Bank Transfer</v>
      </c>
      <c r="F7" s="2">
        <v>4200</v>
      </c>
      <c r="G7" t="str">
        <v/>
      </c>
    </row>
    <row r="8">
      <c r="A8" s="1">
        <v>46181</v>
      </c>
      <c r="B8" t="str">
        <v>Weekly groceries</v>
      </c>
      <c r="C8" t="str">
        <v>Groceries</v>
      </c>
      <c r="D8" t="str">
        <v>Expense</v>
      </c>
      <c r="E8" t="str">
        <v>Card</v>
      </c>
      <c r="F8" s="2">
        <v>2872</v>
      </c>
      <c r="G8" t="str">
        <v>BigBasket</v>
      </c>
    </row>
    <row r="9">
      <c r="A9" s="1">
        <v>46185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1218</v>
      </c>
      <c r="G9" t="str">
        <v/>
      </c>
    </row>
    <row r="10">
      <c r="A10" s="1">
        <v>46187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766</v>
      </c>
      <c r="G10" t="str">
        <v/>
      </c>
    </row>
    <row r="11">
      <c r="A11" s="1">
        <v>46189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2524</v>
      </c>
      <c r="G11" t="str">
        <v/>
      </c>
    </row>
    <row r="12">
      <c r="A12" s="1">
        <v>46191</v>
      </c>
      <c r="B12" t="str">
        <v>Movie night</v>
      </c>
      <c r="C12" t="str">
        <v>Entertainment</v>
      </c>
      <c r="D12" t="str">
        <v>Expense</v>
      </c>
      <c r="E12" t="str">
        <v>UPI</v>
      </c>
      <c r="F12" s="2">
        <v>480</v>
      </c>
      <c r="G12" t="str">
        <v/>
      </c>
    </row>
    <row r="13">
      <c r="A13" s="1">
        <v>46192</v>
      </c>
      <c r="B13" t="str">
        <v>Concert tickets</v>
      </c>
      <c r="C13" t="str">
        <v>Entertainment</v>
      </c>
      <c r="D13" t="str">
        <v>Expense</v>
      </c>
      <c r="E13" t="str">
        <v>Card</v>
      </c>
      <c r="F13" s="2">
        <v>2800</v>
      </c>
      <c r="G13" t="str">
        <v/>
      </c>
    </row>
    <row r="14">
      <c r="A14" s="1">
        <v>46193</v>
      </c>
      <c r="B14" t="str">
        <v>Gym membership</v>
      </c>
      <c r="C14" t="str">
        <v>Health</v>
      </c>
      <c r="D14" t="str">
        <v>Expense</v>
      </c>
      <c r="E14" t="str">
        <v>Card</v>
      </c>
      <c r="F14" s="2">
        <v>1500</v>
      </c>
      <c r="G14" t="str">
        <v/>
      </c>
    </row>
    <row r="15">
      <c r="A15" s="1">
        <v>46195</v>
      </c>
      <c r="B15" t="str">
        <v>Dinner out</v>
      </c>
      <c r="C15" t="str">
        <v>Food</v>
      </c>
      <c r="D15" t="str">
        <v>Expense</v>
      </c>
      <c r="E15" t="str">
        <v>Card</v>
      </c>
      <c r="F15" s="2">
        <v>1324</v>
      </c>
      <c r="G15" t="str">
        <v/>
      </c>
    </row>
    <row r="16">
      <c r="A16" s="1">
        <v>46197</v>
      </c>
      <c r="B16" t="str">
        <v>Weekly groceries</v>
      </c>
      <c r="C16" t="str">
        <v>Groceries</v>
      </c>
      <c r="D16" t="str">
        <v>Expense</v>
      </c>
      <c r="E16" t="str">
        <v>Card</v>
      </c>
      <c r="F16" s="2">
        <v>2356</v>
      </c>
      <c r="G16" t="str">
        <v/>
      </c>
    </row>
    <row r="17">
      <c r="A17" s="1">
        <v>46199</v>
      </c>
      <c r="B17" t="str">
        <v>Petrol</v>
      </c>
      <c r="C17" t="str">
        <v>Transport</v>
      </c>
      <c r="D17" t="str">
        <v>Expense</v>
      </c>
      <c r="E17" t="str">
        <v>Card</v>
      </c>
      <c r="F17" s="2">
        <v>1800</v>
      </c>
      <c r="G17" t="str">
        <v/>
      </c>
    </row>
  </sheetData>
  <ignoredErrors>
    <ignoredError numberStoredAsText="1" sqref="A1:G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46204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46205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46206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1680</v>
      </c>
      <c r="G4" t="str">
        <v/>
      </c>
    </row>
    <row r="5">
      <c r="A5" s="1">
        <v>46208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46210</v>
      </c>
      <c r="B6" t="str">
        <v>Bike loan EMI</v>
      </c>
      <c r="C6" t="str">
        <v>EMI</v>
      </c>
      <c r="D6" t="str">
        <v>Expense</v>
      </c>
      <c r="E6" t="str">
        <v>Bank Transfer</v>
      </c>
      <c r="F6" s="2">
        <v>4200</v>
      </c>
      <c r="G6" t="str">
        <v/>
      </c>
    </row>
    <row r="7">
      <c r="A7" s="1">
        <v>46211</v>
      </c>
      <c r="B7" t="str">
        <v>Weekly groceries</v>
      </c>
      <c r="C7" t="str">
        <v>Groceries</v>
      </c>
      <c r="D7" t="str">
        <v>Expense</v>
      </c>
      <c r="E7" t="str">
        <v>Card</v>
      </c>
      <c r="F7" s="2">
        <v>2909</v>
      </c>
      <c r="G7" t="str">
        <v>BigBasket</v>
      </c>
    </row>
    <row r="8">
      <c r="A8" s="1">
        <v>46215</v>
      </c>
      <c r="B8" t="str">
        <v>Metro &amp; auto</v>
      </c>
      <c r="C8" t="str">
        <v>Transport</v>
      </c>
      <c r="D8" t="str">
        <v>Expense</v>
      </c>
      <c r="E8" t="str">
        <v>UPI</v>
      </c>
      <c r="F8" s="2">
        <v>1271</v>
      </c>
      <c r="G8" t="str">
        <v/>
      </c>
    </row>
    <row r="9">
      <c r="A9" s="1">
        <v>46216</v>
      </c>
      <c r="B9" t="str">
        <v>Freelance app review</v>
      </c>
      <c r="C9" t="str">
        <v>Freelance</v>
      </c>
      <c r="D9" t="str">
        <v>Income</v>
      </c>
      <c r="E9" t="str">
        <v>Bank Transfer</v>
      </c>
      <c r="F9" s="2">
        <v>8000</v>
      </c>
      <c r="G9" t="str">
        <v/>
      </c>
    </row>
    <row r="10">
      <c r="A10" s="1">
        <v>46217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837</v>
      </c>
      <c r="G10" t="str">
        <v/>
      </c>
    </row>
    <row r="11">
      <c r="A11" s="1">
        <v>46219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2543</v>
      </c>
      <c r="G11" t="str">
        <v/>
      </c>
    </row>
    <row r="12">
      <c r="A12" s="1">
        <v>46221</v>
      </c>
      <c r="B12" t="str">
        <v>Movie night</v>
      </c>
      <c r="C12" t="str">
        <v>Entertainment</v>
      </c>
      <c r="D12" t="str">
        <v>Expense</v>
      </c>
      <c r="E12" t="str">
        <v>UPI</v>
      </c>
      <c r="F12" s="2">
        <v>480</v>
      </c>
      <c r="G12" t="str">
        <v/>
      </c>
    </row>
    <row r="13">
      <c r="A13" s="1">
        <v>46223</v>
      </c>
      <c r="B13" t="str">
        <v>Gym membership</v>
      </c>
      <c r="C13" t="str">
        <v>Health</v>
      </c>
      <c r="D13" t="str">
        <v>Expense</v>
      </c>
      <c r="E13" t="str">
        <v>Card</v>
      </c>
      <c r="F13" s="2">
        <v>1500</v>
      </c>
      <c r="G13" t="str">
        <v/>
      </c>
    </row>
    <row r="14">
      <c r="A14" s="1">
        <v>46225</v>
      </c>
      <c r="B14" t="str">
        <v>Dinner out</v>
      </c>
      <c r="C14" t="str">
        <v>Food</v>
      </c>
      <c r="D14" t="str">
        <v>Expense</v>
      </c>
      <c r="E14" t="str">
        <v>Card</v>
      </c>
      <c r="F14" s="2">
        <v>1353</v>
      </c>
      <c r="G14" t="str">
        <v/>
      </c>
    </row>
    <row r="15">
      <c r="A15" s="1">
        <v>46226</v>
      </c>
      <c r="B15" t="str">
        <v>Monsoon shoes</v>
      </c>
      <c r="C15" t="str">
        <v>Shopping</v>
      </c>
      <c r="D15" t="str">
        <v>Expense</v>
      </c>
      <c r="E15" t="str">
        <v>Card</v>
      </c>
      <c r="F15" s="2">
        <v>2199</v>
      </c>
      <c r="G15" t="str">
        <v/>
      </c>
    </row>
    <row r="16">
      <c r="A16" s="1">
        <v>46227</v>
      </c>
      <c r="B16" t="str">
        <v>Weekly groceries</v>
      </c>
      <c r="C16" t="str">
        <v>Groceries</v>
      </c>
      <c r="D16" t="str">
        <v>Expense</v>
      </c>
      <c r="E16" t="str">
        <v>Card</v>
      </c>
      <c r="F16" s="2">
        <v>2367</v>
      </c>
      <c r="G16" t="str">
        <v/>
      </c>
    </row>
    <row r="17">
      <c r="A17" s="1">
        <v>46229</v>
      </c>
      <c r="B17" t="str">
        <v>Petrol</v>
      </c>
      <c r="C17" t="str">
        <v>Transport</v>
      </c>
      <c r="D17" t="str">
        <v>Expense</v>
      </c>
      <c r="E17" t="str">
        <v>Card</v>
      </c>
      <c r="F17" s="2">
        <v>1800</v>
      </c>
      <c r="G17" t="str">
        <v/>
      </c>
    </row>
  </sheetData>
  <ignoredErrors>
    <ignoredError numberStoredAsText="1" sqref="A1:G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46235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46236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46237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1910</v>
      </c>
      <c r="G4" t="str">
        <v/>
      </c>
    </row>
    <row r="5">
      <c r="A5" s="1">
        <v>46239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46241</v>
      </c>
      <c r="B6" t="str">
        <v>Bike loan EMI</v>
      </c>
      <c r="C6" t="str">
        <v>EMI</v>
      </c>
      <c r="D6" t="str">
        <v>Expense</v>
      </c>
      <c r="E6" t="str">
        <v>Bank Transfer</v>
      </c>
      <c r="F6" s="2">
        <v>4200</v>
      </c>
      <c r="G6" t="str">
        <v/>
      </c>
    </row>
    <row r="7">
      <c r="A7" s="1">
        <v>46242</v>
      </c>
      <c r="B7" t="str">
        <v>Weekly groceries</v>
      </c>
      <c r="C7" t="str">
        <v>Groceries</v>
      </c>
      <c r="D7" t="str">
        <v>Expense</v>
      </c>
      <c r="E7" t="str">
        <v>Card</v>
      </c>
      <c r="F7" s="2">
        <v>2946</v>
      </c>
      <c r="G7" t="str">
        <v>BigBasket</v>
      </c>
    </row>
    <row r="8">
      <c r="A8" s="1">
        <v>46244</v>
      </c>
      <c r="B8" t="str">
        <v>Trip to Goa</v>
      </c>
      <c r="C8" t="str">
        <v>Travel</v>
      </c>
      <c r="D8" t="str">
        <v>Expense</v>
      </c>
      <c r="E8" t="str">
        <v>Card</v>
      </c>
      <c r="F8" s="2">
        <v>14500</v>
      </c>
      <c r="G8" t="str">
        <v>Flights + stay</v>
      </c>
    </row>
    <row r="9">
      <c r="A9" s="1">
        <v>46246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1324</v>
      </c>
      <c r="G9" t="str">
        <v/>
      </c>
    </row>
    <row r="10">
      <c r="A10" s="1">
        <v>46248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908</v>
      </c>
      <c r="G10" t="str">
        <v/>
      </c>
    </row>
    <row r="11">
      <c r="A11" s="1">
        <v>46250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2562</v>
      </c>
      <c r="G11" t="str">
        <v/>
      </c>
    </row>
    <row r="12">
      <c r="A12" s="1">
        <v>46252</v>
      </c>
      <c r="B12" t="str">
        <v>Movie night</v>
      </c>
      <c r="C12" t="str">
        <v>Entertainment</v>
      </c>
      <c r="D12" t="str">
        <v>Expense</v>
      </c>
      <c r="E12" t="str">
        <v>UPI</v>
      </c>
      <c r="F12" s="2">
        <v>480</v>
      </c>
      <c r="G12" t="str">
        <v/>
      </c>
    </row>
    <row r="13">
      <c r="A13" s="1">
        <v>46254</v>
      </c>
      <c r="B13" t="str">
        <v>Gym membership</v>
      </c>
      <c r="C13" t="str">
        <v>Health</v>
      </c>
      <c r="D13" t="str">
        <v>Expense</v>
      </c>
      <c r="E13" t="str">
        <v>Card</v>
      </c>
      <c r="F13" s="2">
        <v>1500</v>
      </c>
      <c r="G13" t="str">
        <v/>
      </c>
    </row>
    <row r="14">
      <c r="A14" s="1">
        <v>46256</v>
      </c>
      <c r="B14" t="str">
        <v>Dinner out</v>
      </c>
      <c r="C14" t="str">
        <v>Food</v>
      </c>
      <c r="D14" t="str">
        <v>Expense</v>
      </c>
      <c r="E14" t="str">
        <v>Card</v>
      </c>
      <c r="F14" s="2">
        <v>1382</v>
      </c>
      <c r="G14" t="str">
        <v/>
      </c>
    </row>
    <row r="15">
      <c r="A15" s="1">
        <v>46258</v>
      </c>
      <c r="B15" t="str">
        <v>Weekly groceries</v>
      </c>
      <c r="C15" t="str">
        <v>Groceries</v>
      </c>
      <c r="D15" t="str">
        <v>Expense</v>
      </c>
      <c r="E15" t="str">
        <v>Card</v>
      </c>
      <c r="F15" s="2">
        <v>2378</v>
      </c>
      <c r="G15" t="str">
        <v/>
      </c>
    </row>
    <row r="16">
      <c r="A16" s="1">
        <v>46260</v>
      </c>
      <c r="B16" t="str">
        <v>Petrol</v>
      </c>
      <c r="C16" t="str">
        <v>Transport</v>
      </c>
      <c r="D16" t="str">
        <v>Expense</v>
      </c>
      <c r="E16" t="str">
        <v>Card</v>
      </c>
      <c r="F16" s="2">
        <v>1800</v>
      </c>
      <c r="G16" t="str">
        <v/>
      </c>
    </row>
    <row r="17">
      <c r="A17" s="1">
        <v>46263</v>
      </c>
      <c r="B17" t="str">
        <v>Performance bonus</v>
      </c>
      <c r="C17" t="str">
        <v>Salary</v>
      </c>
      <c r="D17" t="str">
        <v>Income</v>
      </c>
      <c r="E17" t="str">
        <v>Bank Transfer</v>
      </c>
      <c r="F17" s="2">
        <v>25000</v>
      </c>
      <c r="G17" t="str">
        <v/>
      </c>
    </row>
  </sheetData>
  <ignoredErrors>
    <ignoredError numberStoredAsText="1" sqref="A1:G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46266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46267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46268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1450</v>
      </c>
      <c r="G4" t="str">
        <v/>
      </c>
    </row>
    <row r="5">
      <c r="A5" s="1">
        <v>46269</v>
      </c>
      <c r="B5" t="str">
        <v>Insurance premium</v>
      </c>
      <c r="C5" t="str">
        <v>Bills</v>
      </c>
      <c r="D5" t="str">
        <v>Expense</v>
      </c>
      <c r="E5" t="str">
        <v>Bank Transfer</v>
      </c>
      <c r="F5" s="2">
        <v>6200</v>
      </c>
      <c r="G5" t="str">
        <v>Annual</v>
      </c>
    </row>
    <row r="6">
      <c r="A6" s="1">
        <v>46270</v>
      </c>
      <c r="B6" t="str">
        <v>Mobile + broadband</v>
      </c>
      <c r="C6" t="str">
        <v>Bills</v>
      </c>
      <c r="D6" t="str">
        <v>Expense</v>
      </c>
      <c r="E6" t="str">
        <v>UPI</v>
      </c>
      <c r="F6" s="2">
        <v>1199</v>
      </c>
      <c r="G6" t="str">
        <v/>
      </c>
    </row>
    <row r="7">
      <c r="A7" s="1">
        <v>46272</v>
      </c>
      <c r="B7" t="str">
        <v>Bike loan EMI</v>
      </c>
      <c r="C7" t="str">
        <v>EMI</v>
      </c>
      <c r="D7" t="str">
        <v>Expense</v>
      </c>
      <c r="E7" t="str">
        <v>Bank Transfer</v>
      </c>
      <c r="F7" s="2">
        <v>4200</v>
      </c>
      <c r="G7" t="str">
        <v/>
      </c>
    </row>
    <row r="8">
      <c r="A8" s="1">
        <v>46273</v>
      </c>
      <c r="B8" t="str">
        <v>Weekly groceries</v>
      </c>
      <c r="C8" t="str">
        <v>Groceries</v>
      </c>
      <c r="D8" t="str">
        <v>Expense</v>
      </c>
      <c r="E8" t="str">
        <v>Card</v>
      </c>
      <c r="F8" s="2">
        <v>2983</v>
      </c>
      <c r="G8" t="str">
        <v>BigBasket</v>
      </c>
    </row>
    <row r="9">
      <c r="A9" s="1">
        <v>46277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1377</v>
      </c>
      <c r="G9" t="str">
        <v/>
      </c>
    </row>
    <row r="10">
      <c r="A10" s="1">
        <v>46279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679</v>
      </c>
      <c r="G10" t="str">
        <v/>
      </c>
    </row>
    <row r="11">
      <c r="A11" s="1">
        <v>46281</v>
      </c>
      <c r="B11" t="str">
        <v>Weekly groceries</v>
      </c>
      <c r="C11" t="str">
        <v>Groceries</v>
      </c>
      <c r="D11" t="str">
        <v>Expense</v>
      </c>
      <c r="E11" t="str">
        <v>Card</v>
      </c>
      <c r="F11" s="2">
        <v>2581</v>
      </c>
      <c r="G11" t="str">
        <v/>
      </c>
    </row>
    <row r="12">
      <c r="A12" s="1">
        <v>46282</v>
      </c>
      <c r="B12" t="str">
        <v>Festival shopping</v>
      </c>
      <c r="C12" t="str">
        <v>Shopping</v>
      </c>
      <c r="D12" t="str">
        <v>Expense</v>
      </c>
      <c r="E12" t="str">
        <v>Card</v>
      </c>
      <c r="F12" s="2">
        <v>4800</v>
      </c>
      <c r="G12" t="str">
        <v/>
      </c>
    </row>
    <row r="13">
      <c r="A13" s="1">
        <v>46283</v>
      </c>
      <c r="B13" t="str">
        <v>Movie night</v>
      </c>
      <c r="C13" t="str">
        <v>Entertainment</v>
      </c>
      <c r="D13" t="str">
        <v>Expense</v>
      </c>
      <c r="E13" t="str">
        <v>UPI</v>
      </c>
      <c r="F13" s="2">
        <v>480</v>
      </c>
      <c r="G13" t="str">
        <v/>
      </c>
    </row>
    <row r="14">
      <c r="A14" s="1">
        <v>46285</v>
      </c>
      <c r="B14" t="str">
        <v>Gym membership</v>
      </c>
      <c r="C14" t="str">
        <v>Health</v>
      </c>
      <c r="D14" t="str">
        <v>Expense</v>
      </c>
      <c r="E14" t="str">
        <v>Card</v>
      </c>
      <c r="F14" s="2">
        <v>1500</v>
      </c>
      <c r="G14" t="str">
        <v/>
      </c>
    </row>
    <row r="15">
      <c r="A15" s="1">
        <v>46287</v>
      </c>
      <c r="B15" t="str">
        <v>Dinner out</v>
      </c>
      <c r="C15" t="str">
        <v>Food</v>
      </c>
      <c r="D15" t="str">
        <v>Expense</v>
      </c>
      <c r="E15" t="str">
        <v>Card</v>
      </c>
      <c r="F15" s="2">
        <v>1411</v>
      </c>
      <c r="G15" t="str">
        <v/>
      </c>
    </row>
    <row r="16">
      <c r="A16" s="1">
        <v>46289</v>
      </c>
      <c r="B16" t="str">
        <v>Weekly groceries</v>
      </c>
      <c r="C16" t="str">
        <v>Groceries</v>
      </c>
      <c r="D16" t="str">
        <v>Expense</v>
      </c>
      <c r="E16" t="str">
        <v>Card</v>
      </c>
      <c r="F16" s="2">
        <v>2389</v>
      </c>
      <c r="G16" t="str">
        <v/>
      </c>
    </row>
    <row r="17">
      <c r="A17" s="1">
        <v>46291</v>
      </c>
      <c r="B17" t="str">
        <v>Petrol</v>
      </c>
      <c r="C17" t="str">
        <v>Transport</v>
      </c>
      <c r="D17" t="str">
        <v>Expense</v>
      </c>
      <c r="E17" t="str">
        <v>Card</v>
      </c>
      <c r="F17" s="2">
        <v>1800</v>
      </c>
      <c r="G17" t="str">
        <v/>
      </c>
    </row>
  </sheetData>
  <ignoredErrors>
    <ignoredError numberStoredAsText="1" sqref="A1:G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  <row r="2">
      <c r="A2" s="1">
        <v>46296</v>
      </c>
      <c r="B2" t="str">
        <v>Monthly salary</v>
      </c>
      <c r="C2" t="str">
        <v>Salary</v>
      </c>
      <c r="D2" t="str">
        <v>Income</v>
      </c>
      <c r="E2" t="str">
        <v>Bank Transfer</v>
      </c>
      <c r="F2" s="2">
        <v>85000</v>
      </c>
      <c r="G2" t="str">
        <v/>
      </c>
    </row>
    <row r="3">
      <c r="A3" s="1">
        <v>46297</v>
      </c>
      <c r="B3" t="str">
        <v>House rent</v>
      </c>
      <c r="C3" t="str">
        <v>Rent</v>
      </c>
      <c r="D3" t="str">
        <v>Expense</v>
      </c>
      <c r="E3" t="str">
        <v>Bank Transfer</v>
      </c>
      <c r="F3" s="2">
        <v>18000</v>
      </c>
      <c r="G3" t="str">
        <v/>
      </c>
    </row>
    <row r="4">
      <c r="A4" s="1">
        <v>46298</v>
      </c>
      <c r="B4" t="str">
        <v>Electricity bill</v>
      </c>
      <c r="C4" t="str">
        <v>Bills</v>
      </c>
      <c r="D4" t="str">
        <v>Expense</v>
      </c>
      <c r="E4" t="str">
        <v>UPI</v>
      </c>
      <c r="F4" s="2">
        <v>1680</v>
      </c>
      <c r="G4" t="str">
        <v/>
      </c>
    </row>
    <row r="5">
      <c r="A5" s="1">
        <v>46300</v>
      </c>
      <c r="B5" t="str">
        <v>Mobile + broadband</v>
      </c>
      <c r="C5" t="str">
        <v>Bills</v>
      </c>
      <c r="D5" t="str">
        <v>Expense</v>
      </c>
      <c r="E5" t="str">
        <v>UPI</v>
      </c>
      <c r="F5" s="2">
        <v>1199</v>
      </c>
      <c r="G5" t="str">
        <v/>
      </c>
    </row>
    <row r="6">
      <c r="A6" s="1">
        <v>46302</v>
      </c>
      <c r="B6" t="str">
        <v>Bike loan EMI</v>
      </c>
      <c r="C6" t="str">
        <v>EMI</v>
      </c>
      <c r="D6" t="str">
        <v>Expense</v>
      </c>
      <c r="E6" t="str">
        <v>Bank Transfer</v>
      </c>
      <c r="F6" s="2">
        <v>4200</v>
      </c>
      <c r="G6" t="str">
        <v/>
      </c>
    </row>
    <row r="7">
      <c r="A7" s="1">
        <v>46303</v>
      </c>
      <c r="B7" t="str">
        <v>Weekly groceries</v>
      </c>
      <c r="C7" t="str">
        <v>Groceries</v>
      </c>
      <c r="D7" t="str">
        <v>Expense</v>
      </c>
      <c r="E7" t="str">
        <v>Card</v>
      </c>
      <c r="F7" s="2">
        <v>3020</v>
      </c>
      <c r="G7" t="str">
        <v>BigBasket</v>
      </c>
    </row>
    <row r="8">
      <c r="A8" s="1">
        <v>46304</v>
      </c>
      <c r="B8" t="str">
        <v>Diwali gifts</v>
      </c>
      <c r="C8" t="str">
        <v>Shopping</v>
      </c>
      <c r="D8" t="str">
        <v>Expense</v>
      </c>
      <c r="E8" t="str">
        <v>UPI</v>
      </c>
      <c r="F8" s="2">
        <v>3600</v>
      </c>
      <c r="G8" t="str">
        <v/>
      </c>
    </row>
    <row r="9">
      <c r="A9" s="1">
        <v>46307</v>
      </c>
      <c r="B9" t="str">
        <v>Metro &amp; auto</v>
      </c>
      <c r="C9" t="str">
        <v>Transport</v>
      </c>
      <c r="D9" t="str">
        <v>Expense</v>
      </c>
      <c r="E9" t="str">
        <v>UPI</v>
      </c>
      <c r="F9" s="2">
        <v>930</v>
      </c>
      <c r="G9" t="str">
        <v/>
      </c>
    </row>
    <row r="10">
      <c r="A10" s="1">
        <v>46309</v>
      </c>
      <c r="B10" t="str">
        <v>Lunch with team</v>
      </c>
      <c r="C10" t="str">
        <v>Food</v>
      </c>
      <c r="D10" t="str">
        <v>Expense</v>
      </c>
      <c r="E10" t="str">
        <v>Card</v>
      </c>
      <c r="F10" s="2">
        <v>750</v>
      </c>
      <c r="G10" t="str">
        <v/>
      </c>
    </row>
    <row r="11">
      <c r="A11" s="1">
        <v>46310</v>
      </c>
      <c r="B11" t="str">
        <v>Interest credited</v>
      </c>
      <c r="C11" t="str">
        <v>Investment Income</v>
      </c>
      <c r="D11" t="str">
        <v>Income</v>
      </c>
      <c r="E11" t="str">
        <v>Bank Transfer</v>
      </c>
      <c r="F11" s="2">
        <v>940</v>
      </c>
      <c r="G11" t="str">
        <v/>
      </c>
    </row>
    <row r="12">
      <c r="A12" s="1">
        <v>46311</v>
      </c>
      <c r="B12" t="str">
        <v>Weekly groceries</v>
      </c>
      <c r="C12" t="str">
        <v>Groceries</v>
      </c>
      <c r="D12" t="str">
        <v>Expense</v>
      </c>
      <c r="E12" t="str">
        <v>Card</v>
      </c>
      <c r="F12" s="2">
        <v>2600</v>
      </c>
      <c r="G12" t="str">
        <v/>
      </c>
    </row>
    <row r="13">
      <c r="A13" s="1">
        <v>46313</v>
      </c>
      <c r="B13" t="str">
        <v>Movie night</v>
      </c>
      <c r="C13" t="str">
        <v>Entertainment</v>
      </c>
      <c r="D13" t="str">
        <v>Expense</v>
      </c>
      <c r="E13" t="str">
        <v>UPI</v>
      </c>
      <c r="F13" s="2">
        <v>480</v>
      </c>
      <c r="G13" t="str">
        <v/>
      </c>
    </row>
    <row r="14">
      <c r="A14" s="1">
        <v>46315</v>
      </c>
      <c r="B14" t="str">
        <v>Gym membership</v>
      </c>
      <c r="C14" t="str">
        <v>Health</v>
      </c>
      <c r="D14" t="str">
        <v>Expense</v>
      </c>
      <c r="E14" t="str">
        <v>Card</v>
      </c>
      <c r="F14" s="2">
        <v>1500</v>
      </c>
      <c r="G14" t="str">
        <v/>
      </c>
    </row>
    <row r="15">
      <c r="A15" s="1">
        <v>46317</v>
      </c>
      <c r="B15" t="str">
        <v>Dinner out</v>
      </c>
      <c r="C15" t="str">
        <v>Food</v>
      </c>
      <c r="D15" t="str">
        <v>Expense</v>
      </c>
      <c r="E15" t="str">
        <v>Card</v>
      </c>
      <c r="F15" s="2">
        <v>1440</v>
      </c>
      <c r="G15" t="str">
        <v/>
      </c>
    </row>
    <row r="16">
      <c r="A16" s="1">
        <v>46319</v>
      </c>
      <c r="B16" t="str">
        <v>Weekly groceries</v>
      </c>
      <c r="C16" t="str">
        <v>Groceries</v>
      </c>
      <c r="D16" t="str">
        <v>Expense</v>
      </c>
      <c r="E16" t="str">
        <v>Card</v>
      </c>
      <c r="F16" s="2">
        <v>2400</v>
      </c>
      <c r="G16" t="str">
        <v/>
      </c>
    </row>
    <row r="17">
      <c r="A17" s="1">
        <v>46321</v>
      </c>
      <c r="B17" t="str">
        <v>Petrol</v>
      </c>
      <c r="C17" t="str">
        <v>Transport</v>
      </c>
      <c r="D17" t="str">
        <v>Expense</v>
      </c>
      <c r="E17" t="str">
        <v>Card</v>
      </c>
      <c r="F17" s="2">
        <v>1800</v>
      </c>
      <c r="G17" t="str">
        <v/>
      </c>
    </row>
  </sheetData>
  <ignoredErrors>
    <ignoredError numberStoredAsText="1" sqref="A1:G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